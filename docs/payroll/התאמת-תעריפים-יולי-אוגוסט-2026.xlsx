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ירידות תעריף" sheetId="2" state="visible" r:id="rId2"/>
    <sheet name="עליו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11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color rgb="00C00000"/>
      <sz val="12"/>
    </font>
    <font>
      <name val="Arial"/>
      <b val="1"/>
      <color rgb="00FFFFFF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CE4E4"/>
      </patternFill>
    </fill>
    <fill>
      <patternFill patternType="solid">
        <fgColor rgb="00E6F2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3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pivotButton="0" quotePrefix="0" xfId="0"/>
    <xf numFmtId="2" fontId="0" fillId="0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0" fontId="8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 wrapText="1"/>
    </xf>
    <xf numFmtId="0" fontId="3" fillId="5" borderId="1" pivotButton="0" quotePrefix="0" xfId="0"/>
    <xf numFmtId="2" fontId="0" fillId="5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התאמת תעריפים שעתיים — יולי מול אוגוסט 2026</t>
        </is>
      </c>
    </row>
    <row r="2">
      <c r="A2" s="2" t="inlineStr">
        <is>
          <t>פסאו · גג על הים ראשון בע״מ</t>
        </is>
      </c>
    </row>
    <row r="4">
      <c r="A4" s="3" t="inlineStr"/>
      <c r="B4" s="4" t="inlineStr"/>
    </row>
    <row r="5">
      <c r="A5" s="5" t="inlineStr">
        <is>
          <t>מה נבדק</t>
        </is>
      </c>
      <c r="B5" s="4" t="inlineStr">
        <is>
          <t>התעריף השעתי בתלוש של כל עובד בחודש 07/2026 מול 08/2026</t>
        </is>
      </c>
    </row>
    <row r="6">
      <c r="A6" s="5" t="inlineStr">
        <is>
          <t>מקור הנתונים</t>
        </is>
      </c>
      <c r="B6" s="4" t="inlineStr">
        <is>
          <t>BUK — שדה price של רכיב ״משכורת״ בתלוש. זהו התעריף הרשום בתלוש, לא חישוב משוער.</t>
        </is>
      </c>
    </row>
    <row r="7">
      <c r="A7" s="5" t="inlineStr">
        <is>
          <t>אימות</t>
        </is>
      </c>
      <c r="B7" s="4" t="inlineStr">
        <is>
          <t>שעות הנוספות מאשרות: כשהתעריף יורד מ-51 ל-36, רכיב 125% יורד מ-63.75 ל-45 ורכיב 150% מ-76.50 ל-54.</t>
        </is>
      </c>
    </row>
    <row r="8">
      <c r="A8" s="5" t="inlineStr">
        <is>
          <t>תאריך הפקה</t>
        </is>
      </c>
      <c r="B8" s="4" t="inlineStr">
        <is>
          <t>09/09/2026</t>
        </is>
      </c>
    </row>
    <row r="9">
      <c r="A9" s="3" t="inlineStr"/>
      <c r="B9" s="4" t="inlineStr"/>
    </row>
    <row r="10">
      <c r="A10" s="5" t="inlineStr">
        <is>
          <t>עובדים בתלושי יולי</t>
        </is>
      </c>
      <c r="B10" s="4" t="n">
        <v>67</v>
      </c>
    </row>
    <row r="11">
      <c r="A11" s="5" t="inlineStr">
        <is>
          <t>עובדים בתלושי אוגוסט</t>
        </is>
      </c>
      <c r="B11" s="4" t="n">
        <v>78</v>
      </c>
    </row>
    <row r="12">
      <c r="A12" s="5" t="inlineStr">
        <is>
          <t>עובדים שהתעריף שלהם ירד</t>
        </is>
      </c>
      <c r="B12" s="4" t="n">
        <v>10</v>
      </c>
    </row>
    <row r="13">
      <c r="A13" s="5" t="inlineStr">
        <is>
          <t>עובדים שהתעריף שלהם עלה</t>
        </is>
      </c>
      <c r="B13" s="4" t="n">
        <v>25</v>
      </c>
    </row>
    <row r="14">
      <c r="A14" s="3" t="inlineStr"/>
      <c r="B14" s="4" t="inlineStr"/>
    </row>
    <row r="15">
      <c r="A15" s="6" t="inlineStr">
        <is>
          <t>סך הפער בגין ירידות התעריף (ברוטו)</t>
        </is>
      </c>
      <c r="B15" s="7">
        <f>'ירידות תעריף'!G14</f>
        <v/>
      </c>
    </row>
    <row r="17">
      <c r="A17" s="6" t="inlineStr">
        <is>
          <t>הממצא</t>
        </is>
      </c>
    </row>
    <row r="18">
      <c r="A18" s="8" t="inlineStr">
        <is>
          <t>• כל עשר הירידות נחתו בדיוק על מדרגות התעריף הסטנדרטיות (35.40 / 36 / 40 / 51).</t>
        </is>
      </c>
    </row>
    <row r="19">
      <c r="A19" s="8" t="inlineStr">
        <is>
          <t>• ביולי היו לעובדים האלה תעריפים אישיים חריגים (65, 60, 56, 52, 44.40, 44) — באוגוסט כולם נצמדו למדרגה.</t>
        </is>
      </c>
    </row>
    <row r="20">
      <c r="A20" s="8" t="inlineStr">
        <is>
          <t>• הדפוס הזה מתאים לטבלת תעריפים שנבנתה מחדש והתעריפים האישיים אבדו, ולא להחלטה פרטנית לגבי כל אחד מעשרת העובדים.</t>
        </is>
      </c>
    </row>
    <row r="21">
      <c r="A21" s="8" t="inlineStr">
        <is>
          <t>• העלייה מ-35.41 ל-36 אצל 21 עובדים היא עדכון רוחבי ותקין — היא מופיעה בגיליון ״עליות״ לשם שקיפות בלבד.</t>
        </is>
      </c>
    </row>
    <row r="22">
      <c r="A22" s="8" t="inlineStr">
        <is>
          <t>• לתשומת לב: הורדת שכר שעתי לעובד קיים מחייבת את הסכמתו.</t>
        </is>
      </c>
    </row>
    <row r="24">
      <c r="A24" s="6" t="inlineStr">
        <is>
          <t>מה נדרש מהנהלת החשבונות</t>
        </is>
      </c>
    </row>
    <row r="25">
      <c r="A25" s="8" t="inlineStr">
        <is>
          <t>• לאשר לגבי כל שורה בגיליון ״ירידות תעריף״ האם השינוי מכוון או טעות.</t>
        </is>
      </c>
    </row>
    <row r="26">
      <c r="A26" s="8" t="inlineStr">
        <is>
          <t>• למלא את שלוש העמודות הצהובות: ״מכוון?״ (כן/לא), ״סיבה״, ״לתיקון בשכר 09/2026?״ (כן/לא).</t>
        </is>
      </c>
    </row>
    <row r="27">
      <c r="A27" s="8" t="inlineStr">
        <is>
          <t>• דוגמה למילוי: מכוון? = לא · סיבה = טעות בעדכון טבלת תעריפים · לתיקון = כן</t>
        </is>
      </c>
    </row>
    <row r="28">
      <c r="A28" s="8" t="inlineStr">
        <is>
          <t>• רק התאים הצהובים מיועדים למילוי. כל שאר התאים מחושבים ואין לשנותם.</t>
        </is>
      </c>
    </row>
  </sheetData>
  <mergeCells count="9">
    <mergeCell ref="A20:B20"/>
    <mergeCell ref="A21:B21"/>
    <mergeCell ref="A26:B26"/>
    <mergeCell ref="A25:B25"/>
    <mergeCell ref="A19:B19"/>
    <mergeCell ref="A28:B28"/>
    <mergeCell ref="A18:B18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2" customWidth="1" min="8" max="8"/>
    <col width="34" customWidth="1" min="9" max="9"/>
    <col width="20" customWidth="1" min="10" max="10"/>
  </cols>
  <sheetData>
    <row r="1">
      <c r="A1" s="1" t="inlineStr">
        <is>
          <t>ירידות בתעריף השעתי — 07/2026 ← 08/2026</t>
        </is>
      </c>
    </row>
    <row r="3">
      <c r="A3" s="9" t="inlineStr">
        <is>
          <t>שם העובד/ת</t>
        </is>
      </c>
      <c r="B3" s="9" t="inlineStr">
        <is>
          <t>ת.ז / דרכון</t>
        </is>
      </c>
      <c r="C3" s="9" t="inlineStr">
        <is>
          <t>תעריף 07</t>
        </is>
      </c>
      <c r="D3" s="9" t="inlineStr">
        <is>
          <t>תעריף 08</t>
        </is>
      </c>
      <c r="E3" s="9" t="inlineStr">
        <is>
          <t>הפרש</t>
        </is>
      </c>
      <c r="F3" s="9" t="inlineStr">
        <is>
          <t>שעות משוקללות 08</t>
        </is>
      </c>
      <c r="G3" s="9" t="inlineStr">
        <is>
          <t>פער בשכר (ברוטו)</t>
        </is>
      </c>
      <c r="H3" s="9" t="inlineStr">
        <is>
          <t>מכוון?</t>
        </is>
      </c>
      <c r="I3" s="9" t="inlineStr">
        <is>
          <t>סיבה</t>
        </is>
      </c>
      <c r="J3" s="9" t="inlineStr">
        <is>
          <t>לתיקון בשכר 09/2026?</t>
        </is>
      </c>
    </row>
    <row r="4">
      <c r="A4" s="10" t="inlineStr">
        <is>
          <t>יוסופוב יעקב</t>
        </is>
      </c>
      <c r="B4" s="11" t="inlineStr">
        <is>
          <t>303929798</t>
        </is>
      </c>
      <c r="C4" s="12" t="n">
        <v>65</v>
      </c>
      <c r="D4" s="12" t="n">
        <v>51</v>
      </c>
      <c r="E4" s="13">
        <f>D4-C4</f>
        <v/>
      </c>
      <c r="F4" s="12">
        <f>188.29+1.25*26.35+1.5*38.21</f>
        <v/>
      </c>
      <c r="G4" s="14">
        <f>(C4-D4)*F4</f>
        <v/>
      </c>
      <c r="H4" s="15" t="n"/>
      <c r="I4" s="15" t="n"/>
      <c r="J4" s="15" t="n"/>
    </row>
    <row r="5">
      <c r="A5" s="10" t="inlineStr">
        <is>
          <t>פלדינגר עדי</t>
        </is>
      </c>
      <c r="B5" s="11" t="inlineStr">
        <is>
          <t>209188671</t>
        </is>
      </c>
      <c r="C5" s="12" t="n">
        <v>60</v>
      </c>
      <c r="D5" s="12" t="n">
        <v>51</v>
      </c>
      <c r="E5" s="13">
        <f>D5-C5</f>
        <v/>
      </c>
      <c r="F5" s="12">
        <f>158.28+1.25*9.43+1.5*44.69</f>
        <v/>
      </c>
      <c r="G5" s="14">
        <f>(C5-D5)*F5</f>
        <v/>
      </c>
      <c r="H5" s="15" t="n"/>
      <c r="I5" s="15" t="n"/>
      <c r="J5" s="15" t="n"/>
    </row>
    <row r="6">
      <c r="A6" s="10" t="inlineStr">
        <is>
          <t>Monday hillary Omeje</t>
        </is>
      </c>
      <c r="B6" s="11" t="inlineStr">
        <is>
          <t>B00748150</t>
        </is>
      </c>
      <c r="C6" s="12" t="n">
        <v>51</v>
      </c>
      <c r="D6" s="12" t="n">
        <v>36</v>
      </c>
      <c r="E6" s="13">
        <f>D6-C6</f>
        <v/>
      </c>
      <c r="F6" s="12">
        <f>117.97+1.25*5.28+1.5*6.18</f>
        <v/>
      </c>
      <c r="G6" s="14">
        <f>(C6-D6)*F6</f>
        <v/>
      </c>
      <c r="H6" s="15" t="n"/>
      <c r="I6" s="15" t="n"/>
      <c r="J6" s="15" t="n"/>
    </row>
    <row r="7">
      <c r="A7" s="10" t="inlineStr">
        <is>
          <t>ופרו ניקולאי</t>
        </is>
      </c>
      <c r="B7" s="11" t="inlineStr">
        <is>
          <t>347894453</t>
        </is>
      </c>
      <c r="C7" s="12" t="n">
        <v>56</v>
      </c>
      <c r="D7" s="12" t="n">
        <v>51</v>
      </c>
      <c r="E7" s="13">
        <f>D7-C7</f>
        <v/>
      </c>
      <c r="F7" s="12">
        <f>93.45+1.25*0.35+1.5*55.95</f>
        <v/>
      </c>
      <c r="G7" s="14">
        <f>(C7-D7)*F7</f>
        <v/>
      </c>
      <c r="H7" s="15" t="n"/>
      <c r="I7" s="15" t="n"/>
      <c r="J7" s="15" t="n"/>
    </row>
    <row r="8">
      <c r="A8" s="10" t="inlineStr">
        <is>
          <t>שרף אראל</t>
        </is>
      </c>
      <c r="B8" s="11" t="inlineStr">
        <is>
          <t>214152936</t>
        </is>
      </c>
      <c r="C8" s="12" t="n">
        <v>44</v>
      </c>
      <c r="D8" s="12" t="n">
        <v>40</v>
      </c>
      <c r="E8" s="13">
        <f>D8-C8</f>
        <v/>
      </c>
      <c r="F8" s="12">
        <f>93.5+1.25*0.43+1.5*1.94</f>
        <v/>
      </c>
      <c r="G8" s="14">
        <f>(C8-D8)*F8</f>
        <v/>
      </c>
      <c r="H8" s="15" t="n"/>
      <c r="I8" s="15" t="n"/>
      <c r="J8" s="15" t="n"/>
    </row>
    <row r="9">
      <c r="A9" s="10" t="inlineStr">
        <is>
          <t>בן גיאת אריאל</t>
        </is>
      </c>
      <c r="B9" s="11" t="inlineStr">
        <is>
          <t>326438272</t>
        </is>
      </c>
      <c r="C9" s="12" t="n">
        <v>44.4</v>
      </c>
      <c r="D9" s="12" t="n">
        <v>36</v>
      </c>
      <c r="E9" s="13">
        <f>D9-C9</f>
        <v/>
      </c>
      <c r="F9" s="12">
        <f>45.37+1.25*0.53+1.5*0</f>
        <v/>
      </c>
      <c r="G9" s="14">
        <f>(C9-D9)*F9</f>
        <v/>
      </c>
      <c r="H9" s="15" t="n"/>
      <c r="I9" s="15" t="n"/>
      <c r="J9" s="15" t="n"/>
    </row>
    <row r="10">
      <c r="A10" s="10" t="inlineStr">
        <is>
          <t>עמיר נעם</t>
        </is>
      </c>
      <c r="B10" s="11" t="inlineStr">
        <is>
          <t>324230218</t>
        </is>
      </c>
      <c r="C10" s="12" t="n">
        <v>40</v>
      </c>
      <c r="D10" s="12" t="n">
        <v>36</v>
      </c>
      <c r="E10" s="13">
        <f>D10-C10</f>
        <v/>
      </c>
      <c r="F10" s="12">
        <f>52.41+1.25*0+1.5*20.99</f>
        <v/>
      </c>
      <c r="G10" s="14">
        <f>(C10-D10)*F10</f>
        <v/>
      </c>
      <c r="H10" s="15" t="n"/>
      <c r="I10" s="15" t="n"/>
      <c r="J10" s="15" t="n"/>
    </row>
    <row r="11">
      <c r="A11" s="10" t="inlineStr">
        <is>
          <t>הרוש עינת שחר</t>
        </is>
      </c>
      <c r="B11" s="11" t="inlineStr">
        <is>
          <t>209362243</t>
        </is>
      </c>
      <c r="C11" s="12" t="n">
        <v>51</v>
      </c>
      <c r="D11" s="12" t="n">
        <v>40</v>
      </c>
      <c r="E11" s="13">
        <f>D11-C11</f>
        <v/>
      </c>
      <c r="F11" s="12">
        <f>0.53+1.25*0+1.5*5.4</f>
        <v/>
      </c>
      <c r="G11" s="14">
        <f>(C11-D11)*F11</f>
        <v/>
      </c>
      <c r="H11" s="15" t="n"/>
      <c r="I11" s="15" t="n"/>
      <c r="J11" s="15" t="n"/>
    </row>
    <row r="12">
      <c r="A12" s="10" t="inlineStr">
        <is>
          <t>בביש יהלי</t>
        </is>
      </c>
      <c r="B12" s="11" t="inlineStr">
        <is>
          <t>328209879</t>
        </is>
      </c>
      <c r="C12" s="12" t="n">
        <v>36.8</v>
      </c>
      <c r="D12" s="12" t="n">
        <v>36</v>
      </c>
      <c r="E12" s="13">
        <f>D12-C12</f>
        <v/>
      </c>
      <c r="F12" s="12">
        <f>22.76+1.25*0+1.5*8.92</f>
        <v/>
      </c>
      <c r="G12" s="14">
        <f>(C12-D12)*F12</f>
        <v/>
      </c>
      <c r="H12" s="15" t="n"/>
      <c r="I12" s="15" t="n"/>
      <c r="J12" s="15" t="n"/>
    </row>
    <row r="13">
      <c r="A13" s="10" t="inlineStr">
        <is>
          <t>סטפנצ'קוב מקסים</t>
        </is>
      </c>
      <c r="B13" s="11" t="inlineStr">
        <is>
          <t>345600043</t>
        </is>
      </c>
      <c r="C13" s="12" t="n">
        <v>52</v>
      </c>
      <c r="D13" s="12" t="n">
        <v>51</v>
      </c>
      <c r="E13" s="13">
        <f>D13-C13</f>
        <v/>
      </c>
      <c r="F13" s="12">
        <f>5.03+1.25*0.13+1.5*2.97</f>
        <v/>
      </c>
      <c r="G13" s="14">
        <f>(C13-D13)*F13</f>
        <v/>
      </c>
      <c r="H13" s="15" t="n"/>
      <c r="I13" s="15" t="n"/>
      <c r="J13" s="15" t="n"/>
    </row>
    <row r="14">
      <c r="A14" s="16" t="inlineStr">
        <is>
          <t>סה״כ</t>
        </is>
      </c>
      <c r="B14" s="17" t="n"/>
      <c r="C14" s="17" t="n"/>
      <c r="D14" s="17" t="n"/>
      <c r="E14" s="17" t="n"/>
      <c r="F14" s="17" t="n"/>
      <c r="G14" s="18">
        <f>SUM(G4:G13)</f>
        <v/>
      </c>
      <c r="H14" s="17" t="n"/>
      <c r="I14" s="17" t="n"/>
      <c r="J14" s="17" t="n"/>
    </row>
    <row r="16">
      <c r="A16" s="5" t="inlineStr">
        <is>
          <t>הערות</t>
        </is>
      </c>
    </row>
    <row r="17">
      <c r="A17" s="19" t="inlineStr">
        <is>
          <t>• ״שעות משוקללות 08״ = שעות בסיס + 1.25 × שעות 125% + 1.5 × שעות 150%. כך הפער משקף גם את שעות הנוספות, שמתומחרות כאחוז מהתעריף.</t>
        </is>
      </c>
    </row>
    <row r="18">
      <c r="A18" s="19" t="inlineStr">
        <is>
          <t>• ״פער בשכר״ = (תעריף 07 − תעריף 08) × שעות משוקללות 08. זהו סכום ברוטו לפני מס.</t>
        </is>
      </c>
    </row>
    <row r="19">
      <c r="A19" s="19" t="inlineStr">
        <is>
          <t>• הרוש עינת שחר וסטפנצ׳קוב מקסים עבדו באוגוסט מעט מאוד שעות, ולכן הפער הכספי זניח — אך ירידת התעריף עצמה אמיתית וצריכה החלטה.</t>
        </is>
      </c>
    </row>
    <row r="20">
      <c r="A20" s="19" t="inlineStr">
        <is>
          <t>• סהר איתי ירד מ-35.41 ל-35.40 (אגורה) ולא עבד באוגוסט — עיגול, לא נכלל בטבלה.</t>
        </is>
      </c>
    </row>
    <row r="21">
      <c r="A21" s="19" t="inlineStr">
        <is>
          <t>• מקור: BUK, רכיב ״משכורת״, שדה price. נמשך 09/09/2026.</t>
        </is>
      </c>
    </row>
  </sheetData>
  <mergeCells count="5"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עליות בתעריף — לשקיפות בלבד, לא נדרשת פעולה</t>
        </is>
      </c>
    </row>
    <row r="3">
      <c r="A3" s="20" t="inlineStr">
        <is>
          <t>שם העובד/ת</t>
        </is>
      </c>
      <c r="B3" s="20" t="inlineStr">
        <is>
          <t>ת.ז</t>
        </is>
      </c>
      <c r="C3" s="20" t="inlineStr">
        <is>
          <t>תעריף 07</t>
        </is>
      </c>
      <c r="D3" s="20" t="inlineStr">
        <is>
          <t>תעריף 08</t>
        </is>
      </c>
      <c r="E3" s="20" t="inlineStr">
        <is>
          <t>הפרש</t>
        </is>
      </c>
      <c r="F3" s="20" t="inlineStr">
        <is>
          <t>סוג</t>
        </is>
      </c>
    </row>
    <row r="4">
      <c r="A4" s="21" t="inlineStr">
        <is>
          <t>גראדאת דאהוד</t>
        </is>
      </c>
      <c r="B4" s="21" t="inlineStr">
        <is>
          <t>328187315</t>
        </is>
      </c>
      <c r="C4" s="22" t="n">
        <v>46</v>
      </c>
      <c r="D4" s="22" t="n">
        <v>51</v>
      </c>
      <c r="E4" s="22">
        <f>D4-C4</f>
        <v/>
      </c>
      <c r="F4" s="21" t="inlineStr">
        <is>
          <t>העלאה פרטנית</t>
        </is>
      </c>
    </row>
    <row r="5">
      <c r="A5" s="21" t="inlineStr">
        <is>
          <t>אמויאל שירה</t>
        </is>
      </c>
      <c r="B5" s="21" t="inlineStr">
        <is>
          <t>214217358</t>
        </is>
      </c>
      <c r="C5" s="22" t="n">
        <v>35.41</v>
      </c>
      <c r="D5" s="22" t="n">
        <v>40</v>
      </c>
      <c r="E5" s="22">
        <f>D5-C5</f>
        <v/>
      </c>
      <c r="F5" s="21" t="inlineStr">
        <is>
          <t>העלאה פרטנית</t>
        </is>
      </c>
    </row>
    <row r="6">
      <c r="A6" s="21" t="inlineStr">
        <is>
          <t>נועם ליאל</t>
        </is>
      </c>
      <c r="B6" s="21" t="inlineStr">
        <is>
          <t>326466398</t>
        </is>
      </c>
      <c r="C6" s="22" t="n">
        <v>35.41</v>
      </c>
      <c r="D6" s="22" t="n">
        <v>40</v>
      </c>
      <c r="E6" s="22">
        <f>D6-C6</f>
        <v/>
      </c>
      <c r="F6" s="21" t="inlineStr">
        <is>
          <t>העלאה פרטנית</t>
        </is>
      </c>
    </row>
    <row r="7">
      <c r="A7" s="21" t="inlineStr">
        <is>
          <t>בכר נוגה</t>
        </is>
      </c>
      <c r="B7" s="21" t="inlineStr">
        <is>
          <t>333000958</t>
        </is>
      </c>
      <c r="C7" s="22" t="n">
        <v>35.1</v>
      </c>
      <c r="D7" s="22" t="n">
        <v>36</v>
      </c>
      <c r="E7" s="22">
        <f>D7-C7</f>
        <v/>
      </c>
      <c r="F7" s="21" t="inlineStr">
        <is>
          <t>עדכון רוחבי</t>
        </is>
      </c>
    </row>
    <row r="8">
      <c r="A8" s="21" t="inlineStr">
        <is>
          <t>בוך ניר מאור</t>
        </is>
      </c>
      <c r="B8" s="23" t="n"/>
      <c r="C8" s="22" t="n">
        <v>35.41</v>
      </c>
      <c r="D8" s="22" t="n">
        <v>36</v>
      </c>
      <c r="E8" s="22">
        <f>D8-C8</f>
        <v/>
      </c>
      <c r="F8" s="21" t="inlineStr">
        <is>
          <t>עדכון רוחבי</t>
        </is>
      </c>
    </row>
    <row r="9">
      <c r="A9" s="21" t="inlineStr">
        <is>
          <t>בן ארי יהונתן</t>
        </is>
      </c>
      <c r="B9" s="23" t="n"/>
      <c r="C9" s="22" t="n">
        <v>35.41</v>
      </c>
      <c r="D9" s="22" t="n">
        <v>36</v>
      </c>
      <c r="E9" s="22">
        <f>D9-C9</f>
        <v/>
      </c>
      <c r="F9" s="21" t="inlineStr">
        <is>
          <t>עדכון רוחבי</t>
        </is>
      </c>
    </row>
    <row r="10">
      <c r="A10" s="21" t="inlineStr">
        <is>
          <t>סנואני טליה</t>
        </is>
      </c>
      <c r="B10" s="23" t="n"/>
      <c r="C10" s="22" t="n">
        <v>35.41</v>
      </c>
      <c r="D10" s="22" t="n">
        <v>36</v>
      </c>
      <c r="E10" s="22">
        <f>D10-C10</f>
        <v/>
      </c>
      <c r="F10" s="21" t="inlineStr">
        <is>
          <t>עדכון רוחבי</t>
        </is>
      </c>
    </row>
    <row r="11">
      <c r="A11" s="21" t="inlineStr">
        <is>
          <t>טל אלה</t>
        </is>
      </c>
      <c r="B11" s="23" t="n"/>
      <c r="C11" s="22" t="n">
        <v>35.41</v>
      </c>
      <c r="D11" s="22" t="n">
        <v>36</v>
      </c>
      <c r="E11" s="22">
        <f>D11-C11</f>
        <v/>
      </c>
      <c r="F11" s="21" t="inlineStr">
        <is>
          <t>עדכון רוחבי</t>
        </is>
      </c>
    </row>
    <row r="12">
      <c r="A12" s="21" t="inlineStr">
        <is>
          <t>בריינר שני</t>
        </is>
      </c>
      <c r="B12" s="23" t="n"/>
      <c r="C12" s="22" t="n">
        <v>35.41</v>
      </c>
      <c r="D12" s="22" t="n">
        <v>36</v>
      </c>
      <c r="E12" s="22">
        <f>D12-C12</f>
        <v/>
      </c>
      <c r="F12" s="21" t="inlineStr">
        <is>
          <t>עדכון רוחבי</t>
        </is>
      </c>
    </row>
    <row r="13">
      <c r="A13" s="21" t="inlineStr">
        <is>
          <t>כהן אליאן</t>
        </is>
      </c>
      <c r="B13" s="23" t="n"/>
      <c r="C13" s="22" t="n">
        <v>35.41</v>
      </c>
      <c r="D13" s="22" t="n">
        <v>36</v>
      </c>
      <c r="E13" s="22">
        <f>D13-C13</f>
        <v/>
      </c>
      <c r="F13" s="21" t="inlineStr">
        <is>
          <t>עדכון רוחבי</t>
        </is>
      </c>
    </row>
    <row r="14">
      <c r="A14" s="21" t="inlineStr">
        <is>
          <t>סויסה יובל</t>
        </is>
      </c>
      <c r="B14" s="23" t="n"/>
      <c r="C14" s="22" t="n">
        <v>35.41</v>
      </c>
      <c r="D14" s="22" t="n">
        <v>36</v>
      </c>
      <c r="E14" s="22">
        <f>D14-C14</f>
        <v/>
      </c>
      <c r="F14" s="21" t="inlineStr">
        <is>
          <t>עדכון רוחבי</t>
        </is>
      </c>
    </row>
    <row r="15">
      <c r="A15" s="21" t="inlineStr">
        <is>
          <t>וופנה אליעזר</t>
        </is>
      </c>
      <c r="B15" s="23" t="n"/>
      <c r="C15" s="22" t="n">
        <v>35.41</v>
      </c>
      <c r="D15" s="22" t="n">
        <v>36</v>
      </c>
      <c r="E15" s="22">
        <f>D15-C15</f>
        <v/>
      </c>
      <c r="F15" s="21" t="inlineStr">
        <is>
          <t>עדכון רוחבי</t>
        </is>
      </c>
    </row>
    <row r="16">
      <c r="A16" s="21" t="inlineStr">
        <is>
          <t>עמית ניר אברהם</t>
        </is>
      </c>
      <c r="B16" s="23" t="n"/>
      <c r="C16" s="22" t="n">
        <v>35.41</v>
      </c>
      <c r="D16" s="22" t="n">
        <v>36</v>
      </c>
      <c r="E16" s="22">
        <f>D16-C16</f>
        <v/>
      </c>
      <c r="F16" s="21" t="inlineStr">
        <is>
          <t>עדכון רוחבי</t>
        </is>
      </c>
    </row>
    <row r="17">
      <c r="A17" s="21" t="inlineStr">
        <is>
          <t>כהן שקד</t>
        </is>
      </c>
      <c r="B17" s="23" t="n"/>
      <c r="C17" s="22" t="n">
        <v>35.41</v>
      </c>
      <c r="D17" s="22" t="n">
        <v>36</v>
      </c>
      <c r="E17" s="22">
        <f>D17-C17</f>
        <v/>
      </c>
      <c r="F17" s="21" t="inlineStr">
        <is>
          <t>עדכון רוחבי</t>
        </is>
      </c>
    </row>
    <row r="18">
      <c r="A18" s="21" t="inlineStr">
        <is>
          <t>הוכברג עידו</t>
        </is>
      </c>
      <c r="B18" s="23" t="n"/>
      <c r="C18" s="22" t="n">
        <v>35.41</v>
      </c>
      <c r="D18" s="22" t="n">
        <v>36</v>
      </c>
      <c r="E18" s="22">
        <f>D18-C18</f>
        <v/>
      </c>
      <c r="F18" s="21" t="inlineStr">
        <is>
          <t>עדכון רוחבי</t>
        </is>
      </c>
    </row>
    <row r="19">
      <c r="A19" s="21" t="inlineStr">
        <is>
          <t>מזרחי אורן</t>
        </is>
      </c>
      <c r="B19" s="23" t="n"/>
      <c r="C19" s="22" t="n">
        <v>35.41</v>
      </c>
      <c r="D19" s="22" t="n">
        <v>36</v>
      </c>
      <c r="E19" s="22">
        <f>D19-C19</f>
        <v/>
      </c>
      <c r="F19" s="21" t="inlineStr">
        <is>
          <t>עדכון רוחבי</t>
        </is>
      </c>
    </row>
    <row r="20">
      <c r="A20" s="21" t="inlineStr">
        <is>
          <t>קיזמן נאור</t>
        </is>
      </c>
      <c r="B20" s="23" t="n"/>
      <c r="C20" s="22" t="n">
        <v>35.41</v>
      </c>
      <c r="D20" s="22" t="n">
        <v>36</v>
      </c>
      <c r="E20" s="22">
        <f>D20-C20</f>
        <v/>
      </c>
      <c r="F20" s="21" t="inlineStr">
        <is>
          <t>עדכון רוחבי</t>
        </is>
      </c>
    </row>
    <row r="21">
      <c r="A21" s="21" t="inlineStr">
        <is>
          <t>בזוב יצחק</t>
        </is>
      </c>
      <c r="B21" s="23" t="n"/>
      <c r="C21" s="22" t="n">
        <v>35.41</v>
      </c>
      <c r="D21" s="22" t="n">
        <v>36</v>
      </c>
      <c r="E21" s="22">
        <f>D21-C21</f>
        <v/>
      </c>
      <c r="F21" s="21" t="inlineStr">
        <is>
          <t>עדכון רוחבי</t>
        </is>
      </c>
    </row>
    <row r="22">
      <c r="A22" s="21" t="inlineStr">
        <is>
          <t>לוצי רוני</t>
        </is>
      </c>
      <c r="B22" s="23" t="n"/>
      <c r="C22" s="22" t="n">
        <v>35.41</v>
      </c>
      <c r="D22" s="22" t="n">
        <v>36</v>
      </c>
      <c r="E22" s="22">
        <f>D22-C22</f>
        <v/>
      </c>
      <c r="F22" s="21" t="inlineStr">
        <is>
          <t>עדכון רוחבי</t>
        </is>
      </c>
    </row>
    <row r="23">
      <c r="A23" s="21" t="inlineStr">
        <is>
          <t>משה אורי</t>
        </is>
      </c>
      <c r="B23" s="23" t="n"/>
      <c r="C23" s="22" t="n">
        <v>35.41</v>
      </c>
      <c r="D23" s="22" t="n">
        <v>36</v>
      </c>
      <c r="E23" s="22">
        <f>D23-C23</f>
        <v/>
      </c>
      <c r="F23" s="21" t="inlineStr">
        <is>
          <t>עדכון רוחבי</t>
        </is>
      </c>
    </row>
    <row r="24">
      <c r="A24" s="21" t="inlineStr">
        <is>
          <t>בזיס עמית</t>
        </is>
      </c>
      <c r="B24" s="23" t="n"/>
      <c r="C24" s="22" t="n">
        <v>35.41</v>
      </c>
      <c r="D24" s="22" t="n">
        <v>36</v>
      </c>
      <c r="E24" s="22">
        <f>D24-C24</f>
        <v/>
      </c>
      <c r="F24" s="21" t="inlineStr">
        <is>
          <t>עדכון רוחבי</t>
        </is>
      </c>
    </row>
    <row r="25">
      <c r="A25" s="21" t="inlineStr">
        <is>
          <t>בן חמו שחר</t>
        </is>
      </c>
      <c r="B25" s="23" t="n"/>
      <c r="C25" s="22" t="n">
        <v>35.41</v>
      </c>
      <c r="D25" s="22" t="n">
        <v>36</v>
      </c>
      <c r="E25" s="22">
        <f>D25-C25</f>
        <v/>
      </c>
      <c r="F25" s="21" t="inlineStr">
        <is>
          <t>עדכון רוחבי</t>
        </is>
      </c>
    </row>
    <row r="26">
      <c r="A26" s="21" t="inlineStr">
        <is>
          <t>שפוליאנסקי אלון</t>
        </is>
      </c>
      <c r="B26" s="23" t="n"/>
      <c r="C26" s="22" t="n">
        <v>35.41</v>
      </c>
      <c r="D26" s="22" t="n">
        <v>36</v>
      </c>
      <c r="E26" s="22">
        <f>D26-C26</f>
        <v/>
      </c>
      <c r="F26" s="21" t="inlineStr">
        <is>
          <t>עדכון רוחבי</t>
        </is>
      </c>
    </row>
    <row r="27">
      <c r="A27" s="21" t="inlineStr">
        <is>
          <t>מגן עמית</t>
        </is>
      </c>
      <c r="B27" s="23" t="n"/>
      <c r="C27" s="22" t="n">
        <v>35.41</v>
      </c>
      <c r="D27" s="22" t="n">
        <v>36</v>
      </c>
      <c r="E27" s="22">
        <f>D27-C27</f>
        <v/>
      </c>
      <c r="F27" s="21" t="inlineStr">
        <is>
          <t>עדכון רוחבי</t>
        </is>
      </c>
    </row>
    <row r="28">
      <c r="A28" s="21" t="inlineStr">
        <is>
          <t>רוזמן יקטרינה</t>
        </is>
      </c>
      <c r="B28" s="23" t="n"/>
      <c r="C28" s="22" t="n">
        <v>35.41</v>
      </c>
      <c r="D28" s="22" t="n">
        <v>36</v>
      </c>
      <c r="E28" s="22">
        <f>D28-C28</f>
        <v/>
      </c>
      <c r="F28" s="21" t="inlineStr">
        <is>
          <t>עדכון רוחבי</t>
        </is>
      </c>
    </row>
    <row r="30">
      <c r="A30" s="24" t="inlineStr">
        <is>
          <t>• 21 עובדים עלו מ-35.41 ל-36 — עדכון רוחבי זהה לכולם, כנראה עדכון שכר מינימום.</t>
        </is>
      </c>
    </row>
  </sheetData>
  <mergeCells count="1"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2026-09-09T09:14:06Z</dcterms:created>
  <dcterms:modified xsi:type="dcterms:W3CDTF">2026-09-09T09:14:06Z</dcterms:modified>
</cp:coreProperties>
</file>